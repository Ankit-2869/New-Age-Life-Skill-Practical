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C:\Windows 32\B.tech (CSE)\NALS\Practical file work\"/>
    </mc:Choice>
  </mc:AlternateContent>
  <xr:revisionPtr revIDLastSave="0" documentId="8_{B386CFC0-1FF5-4849-9608-F531EFFBBD0A}" xr6:coauthVersionLast="47" xr6:coauthVersionMax="47" xr10:uidLastSave="{00000000-0000-0000-0000-000000000000}"/>
  <bookViews>
    <workbookView xWindow="-108" yWindow="-108" windowWidth="23256" windowHeight="13176" activeTab="2" xr2:uid="{00000000-000D-0000-FFFF-FFFF00000000}"/>
  </bookViews>
  <sheets>
    <sheet name="Student_data" sheetId="1" r:id="rId1"/>
    <sheet name="Marks_Analysis" sheetId="2" r:id="rId2"/>
    <sheet name="Char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8" i="2" l="1"/>
  <c r="J18" i="2"/>
  <c r="K18" i="2" s="1"/>
  <c r="L17" i="2"/>
  <c r="J17" i="2"/>
  <c r="K17" i="2" s="1"/>
  <c r="L16" i="2"/>
  <c r="J16" i="2"/>
  <c r="K16" i="2" s="1"/>
  <c r="L15" i="2"/>
  <c r="J15" i="2"/>
  <c r="K15" i="2" s="1"/>
  <c r="N13" i="2"/>
  <c r="L14" i="2"/>
  <c r="J14" i="2"/>
  <c r="K14" i="2" s="1"/>
  <c r="L13" i="2"/>
  <c r="J13" i="2"/>
  <c r="K13" i="2" s="1"/>
  <c r="L12" i="2"/>
  <c r="J12" i="2"/>
  <c r="K12" i="2" s="1"/>
  <c r="L11" i="2"/>
  <c r="J11" i="2"/>
  <c r="K11" i="2" s="1"/>
  <c r="N9" i="2"/>
  <c r="L10" i="2"/>
  <c r="J10" i="2"/>
  <c r="K10" i="2" s="1"/>
  <c r="L9" i="2"/>
  <c r="J9" i="2"/>
  <c r="K9" i="2" s="1"/>
  <c r="L8" i="2"/>
  <c r="J8" i="2"/>
  <c r="K8" i="2" s="1"/>
  <c r="L7" i="2"/>
  <c r="J7" i="2"/>
  <c r="K7" i="2" s="1"/>
  <c r="L6" i="2"/>
  <c r="J6" i="2"/>
  <c r="K6" i="2" s="1"/>
  <c r="L5" i="2"/>
  <c r="J5" i="2"/>
  <c r="K5" i="2" s="1"/>
  <c r="L4" i="2"/>
  <c r="J4" i="2"/>
  <c r="K4" i="2" s="1"/>
  <c r="J18" i="1"/>
  <c r="K18" i="1" s="1"/>
  <c r="J17" i="1"/>
  <c r="K17" i="1" s="1"/>
  <c r="J16" i="1"/>
  <c r="K16" i="1" s="1"/>
  <c r="J15" i="1"/>
  <c r="K15" i="1" s="1"/>
  <c r="J14" i="1"/>
  <c r="K14" i="1" s="1"/>
  <c r="J13" i="1"/>
  <c r="K13" i="1" s="1"/>
  <c r="J12" i="1"/>
  <c r="K12" i="1" s="1"/>
  <c r="J11" i="1"/>
  <c r="K11" i="1" s="1"/>
  <c r="J10" i="1"/>
  <c r="K10" i="1" s="1"/>
  <c r="J9" i="1"/>
  <c r="K9" i="1" s="1"/>
  <c r="J8" i="1"/>
  <c r="K8" i="1" s="1"/>
  <c r="J7" i="1"/>
  <c r="K7" i="1" s="1"/>
  <c r="J6" i="1"/>
  <c r="K6" i="1" s="1"/>
  <c r="J5" i="1"/>
  <c r="K5" i="1" s="1"/>
  <c r="J4" i="1"/>
  <c r="K4" i="1" s="1"/>
</calcChain>
</file>

<file path=xl/sharedStrings.xml><?xml version="1.0" encoding="utf-8"?>
<sst xmlns="http://schemas.openxmlformats.org/spreadsheetml/2006/main" count="190" uniqueCount="89">
  <si>
    <t>Name</t>
  </si>
  <si>
    <t xml:space="preserve">First </t>
  </si>
  <si>
    <t>Roll N0.</t>
  </si>
  <si>
    <t>Class</t>
  </si>
  <si>
    <t>City</t>
  </si>
  <si>
    <t>Hindi</t>
  </si>
  <si>
    <t>English</t>
  </si>
  <si>
    <t>Maths</t>
  </si>
  <si>
    <t>Total</t>
  </si>
  <si>
    <t>Remark</t>
  </si>
  <si>
    <t>Rahul Verma</t>
  </si>
  <si>
    <t>Rahul</t>
  </si>
  <si>
    <t>Verma</t>
  </si>
  <si>
    <t>1A</t>
  </si>
  <si>
    <t>Delhi</t>
  </si>
  <si>
    <t>Neha sharma</t>
  </si>
  <si>
    <t>Neha</t>
  </si>
  <si>
    <t>sharma</t>
  </si>
  <si>
    <t>Jaipur</t>
  </si>
  <si>
    <t>Aman khan</t>
  </si>
  <si>
    <t>Aman</t>
  </si>
  <si>
    <t>khan</t>
  </si>
  <si>
    <t>Lucknow</t>
  </si>
  <si>
    <t>Pooja Patel</t>
  </si>
  <si>
    <t>Pooja</t>
  </si>
  <si>
    <t>Patel</t>
  </si>
  <si>
    <t>Surat</t>
  </si>
  <si>
    <t>Sures Das</t>
  </si>
  <si>
    <t>Sures</t>
  </si>
  <si>
    <t>Das</t>
  </si>
  <si>
    <t>Ankit Singh</t>
  </si>
  <si>
    <t>Ankit</t>
  </si>
  <si>
    <t>Singh</t>
  </si>
  <si>
    <t xml:space="preserve">Patna </t>
  </si>
  <si>
    <t>Riya Gupta</t>
  </si>
  <si>
    <t>Riya</t>
  </si>
  <si>
    <t>Gupta</t>
  </si>
  <si>
    <t>Noida</t>
  </si>
  <si>
    <t>Mohit Jain</t>
  </si>
  <si>
    <t>Mohit</t>
  </si>
  <si>
    <t>Jain</t>
  </si>
  <si>
    <t>Indore</t>
  </si>
  <si>
    <t>Sneha Iyer</t>
  </si>
  <si>
    <t>Sneha</t>
  </si>
  <si>
    <t>Iyer</t>
  </si>
  <si>
    <t>Chennai</t>
  </si>
  <si>
    <t>Karan Malhotra</t>
  </si>
  <si>
    <t>Karan</t>
  </si>
  <si>
    <t>Malhotra</t>
  </si>
  <si>
    <t>Chandigarh</t>
  </si>
  <si>
    <t>Aditi Rao</t>
  </si>
  <si>
    <t>Aditi</t>
  </si>
  <si>
    <t>Rao</t>
  </si>
  <si>
    <t>Bengaluru</t>
  </si>
  <si>
    <t>Nikhil Pawar</t>
  </si>
  <si>
    <t>Nikhil</t>
  </si>
  <si>
    <t>Pawar</t>
  </si>
  <si>
    <t>Pune</t>
  </si>
  <si>
    <t>Simran Kaur</t>
  </si>
  <si>
    <t>Simran</t>
  </si>
  <si>
    <t>Kaur</t>
  </si>
  <si>
    <t>Arjun Mehta</t>
  </si>
  <si>
    <t>Arjun</t>
  </si>
  <si>
    <t>Mehta</t>
  </si>
  <si>
    <t>Mumbai</t>
  </si>
  <si>
    <t>Kavya Nair</t>
  </si>
  <si>
    <t>Kavya</t>
  </si>
  <si>
    <t>Nair</t>
  </si>
  <si>
    <t>Kochi</t>
  </si>
  <si>
    <t>Average</t>
  </si>
  <si>
    <t xml:space="preserve">  Maximum marks</t>
  </si>
  <si>
    <r>
      <t xml:space="preserve"> </t>
    </r>
    <r>
      <rPr>
        <b/>
        <sz val="14"/>
        <color theme="1"/>
        <rFont val="Calibri"/>
        <charset val="134"/>
        <scheme val="minor"/>
      </rPr>
      <t xml:space="preserve"> Minimum marks</t>
    </r>
  </si>
  <si>
    <t xml:space="preserve">First name </t>
  </si>
  <si>
    <t>last name</t>
  </si>
  <si>
    <t xml:space="preserve">Count of students who belong to Delhi </t>
  </si>
  <si>
    <t>Column1</t>
  </si>
  <si>
    <t>Column3</t>
  </si>
  <si>
    <t>Column4</t>
  </si>
  <si>
    <t>Column5</t>
  </si>
  <si>
    <t>Column7</t>
  </si>
  <si>
    <t>Column9</t>
  </si>
  <si>
    <t>Column11</t>
  </si>
  <si>
    <t>Column13</t>
  </si>
  <si>
    <t>Column15</t>
  </si>
  <si>
    <t>Column17</t>
  </si>
  <si>
    <t>Column18</t>
  </si>
  <si>
    <t>Column19</t>
  </si>
  <si>
    <t>Pass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</si>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</sst>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8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>
      <alignment vertical="center"/>
    </xf>
    <xf numFmtId="0" fontId="0" fillId="0" borderId="1" xfId="0" applyBorder="1">
      <alignment vertical="center"/>
    </xf>
    <xf numFmtId="0" fontId="1" fillId="0" borderId="1" xfId="0" applyFont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>
      <alignment vertical="center"/>
    </xf>
  </cellXfs>
  <cellStyles count="1">
    <cellStyle name="Normal" xfId="0" builtinId="0"/>
  </cellStyles>
  <dxfs count="54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charset val="134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53"/>
      <tableStyleElement type="headerRow" dxfId="52"/>
      <tableStyleElement type="totalRow" dxfId="51"/>
      <tableStyleElement type="firstColumn" dxfId="50"/>
      <tableStyleElement type="lastColumn" dxfId="49"/>
      <tableStyleElement type="firstRowStripe" dxfId="48"/>
      <tableStyleElement type="firstColumnStripe" dxfId="47"/>
    </tableStyle>
    <tableStyle name="PivotStylePreset2_Accent1" table="0" count="10" xr9:uid="{267968C8-6FFD-4C36-ACC1-9EA1FD1885CA}">
      <tableStyleElement type="headerRow" dxfId="46"/>
      <tableStyleElement type="totalRow" dxfId="45"/>
      <tableStyleElement type="firstRowStripe" dxfId="44"/>
      <tableStyleElement type="firstColumnStripe" dxfId="43"/>
      <tableStyleElement type="firstSubtotalRow" dxfId="42"/>
      <tableStyleElement type="secondSubtotalRow" dxfId="41"/>
      <tableStyleElement type="firstRowSubheading" dxfId="40"/>
      <tableStyleElement type="secondRowSubheading" dxfId="39"/>
      <tableStyleElement type="pageFieldLabels" dxfId="38"/>
      <tableStyleElement type="pageFieldValues" dxfId="3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Student_data!$G$4:$G$18</c:f>
              <c:numCache>
                <c:formatCode>General</c:formatCode>
                <c:ptCount val="15"/>
                <c:pt idx="0">
                  <c:v>58</c:v>
                </c:pt>
                <c:pt idx="1">
                  <c:v>60</c:v>
                </c:pt>
                <c:pt idx="2">
                  <c:v>89</c:v>
                </c:pt>
                <c:pt idx="3">
                  <c:v>90</c:v>
                </c:pt>
                <c:pt idx="4">
                  <c:v>65</c:v>
                </c:pt>
                <c:pt idx="5">
                  <c:v>32</c:v>
                </c:pt>
                <c:pt idx="6">
                  <c:v>97</c:v>
                </c:pt>
                <c:pt idx="7">
                  <c:v>67</c:v>
                </c:pt>
                <c:pt idx="8">
                  <c:v>77</c:v>
                </c:pt>
                <c:pt idx="9">
                  <c:v>92</c:v>
                </c:pt>
                <c:pt idx="10">
                  <c:v>43</c:v>
                </c:pt>
                <c:pt idx="11">
                  <c:v>62</c:v>
                </c:pt>
                <c:pt idx="12">
                  <c:v>55</c:v>
                </c:pt>
                <c:pt idx="13">
                  <c:v>94</c:v>
                </c:pt>
                <c:pt idx="14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10-4E2A-8B3D-8E48C1E33C7D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Student_data!#REF!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10-4E2A-8B3D-8E48C1E33C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543991078"/>
        <c:axId val="751087100"/>
      </c:barChart>
      <c:catAx>
        <c:axId val="54399107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1087100"/>
        <c:crosses val="autoZero"/>
        <c:auto val="1"/>
        <c:lblAlgn val="ctr"/>
        <c:lblOffset val="100"/>
        <c:noMultiLvlLbl val="0"/>
      </c:catAx>
      <c:valAx>
        <c:axId val="751087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399107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2da72d7-ab86-43fe-adbf-a6a573b8aad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617220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0</xdr:row>
      <xdr:rowOff>0</xdr:rowOff>
    </xdr:from>
    <xdr:to>
      <xdr:col>16</xdr:col>
      <xdr:colOff>207072</xdr:colOff>
      <xdr:row>15</xdr:row>
      <xdr:rowOff>9181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5BB939C-08F7-F755-F952-A6EC51065C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23560" y="0"/>
          <a:ext cx="4580952" cy="2752381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75421BF-1614-4326-9C6E-4D61E1A35F25}" name="Table4" displayName="Table4" ref="A2:K18" headerRowCount="0" totalsRowShown="0" headerRowDxfId="36" dataDxfId="35">
  <tableColumns count="11">
    <tableColumn id="1" xr3:uid="{5DBC1BB2-819D-4E53-A825-456427FB9A3E}" name="Column1" headerRowDxfId="34" dataDxfId="33"/>
    <tableColumn id="3" xr3:uid="{190ACC0D-B270-46EF-B7BB-A25F2714EF4F}" name="Column3" headerRowDxfId="32" dataDxfId="31"/>
    <tableColumn id="4" xr3:uid="{0C086C28-F7C5-4C0D-BA36-988B34A9C5C4}" name="Column4" headerRowDxfId="30" dataDxfId="29"/>
    <tableColumn id="5" xr3:uid="{6A6E96DD-DC78-4B86-83A5-3A2151DBF5EE}" name="Column5" headerRowDxfId="28" dataDxfId="27"/>
    <tableColumn id="7" xr3:uid="{C19FF79E-483B-4710-AC61-39344AD834EE}" name="Column7" headerRowDxfId="26" dataDxfId="25"/>
    <tableColumn id="9" xr3:uid="{A16E766A-17E2-48F1-998A-8691AAE50E04}" name="Column9" headerRowDxfId="24" dataDxfId="23"/>
    <tableColumn id="11" xr3:uid="{C710722C-175B-4712-BA60-42651B3AD628}" name="Column11" headerRowDxfId="22" dataDxfId="21"/>
    <tableColumn id="13" xr3:uid="{7FB3488F-2AEA-4BD2-8CC9-A5D6B8B1FE4D}" name="Column13" headerRowDxfId="20" dataDxfId="19"/>
    <tableColumn id="15" xr3:uid="{1C3072AA-57DE-41D8-8B7E-4C28FF6E5017}" name="Column15" headerRowDxfId="18" dataDxfId="17"/>
    <tableColumn id="17" xr3:uid="{84FE4DDB-C23D-4D63-A48B-D88B5170B392}" name="Column17" headerRowDxfId="16" dataDxfId="15">
      <calculatedColumnFormula>SUM(G2:I2)</calculatedColumnFormula>
    </tableColumn>
    <tableColumn id="18" xr3:uid="{EB81F91B-3B43-4AC5-B037-E4F1A401A042}" name="Column18" headerRowDxfId="14" dataDxfId="13">
      <calculatedColumnFormula>IF(J2&gt;=120,"PASS","FAIL")</calculatedColumnFormula>
    </tableColumn>
  </tableColumns>
  <tableStyleInfo name="TableStyleLight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B1DA153-D6E6-466F-9389-D7968B18B4A4}" name="Table2" displayName="Table2" ref="A1:L18" totalsRowShown="0" headerRowDxfId="12" dataDxfId="11">
  <autoFilter ref="A1:L18" xr:uid="{8B1DA153-D6E6-466F-9389-D7968B18B4A4}"/>
  <tableColumns count="12">
    <tableColumn id="1" xr3:uid="{8D907882-E9F7-4F2D-A3E1-EFBE1B565727}" name="Column1" dataDxfId="10"/>
    <tableColumn id="3" xr3:uid="{B415F0AA-68EA-4C9F-91FF-4E2C69DCFF89}" name="Column3" dataDxfId="9"/>
    <tableColumn id="4" xr3:uid="{9B2F342C-73A6-455C-92B3-D14E84E8311E}" name="Column4" dataDxfId="8"/>
    <tableColumn id="5" xr3:uid="{A4D6FF4B-920F-47C7-807A-FEB21DC62252}" name="Column5" dataDxfId="7"/>
    <tableColumn id="7" xr3:uid="{B7865BB1-1EA8-4CF1-A18F-F2691585ACE3}" name="Column7" dataDxfId="6"/>
    <tableColumn id="9" xr3:uid="{54D4D7F8-AC75-4440-8404-3758E906D3FB}" name="Column9" dataDxfId="5"/>
    <tableColumn id="11" xr3:uid="{DD189835-7B3D-481A-BAD6-53AB4C080A8F}" name="Column11" dataDxfId="4"/>
    <tableColumn id="13" xr3:uid="{EF8966AA-EFBB-4154-872A-1C0D4B99EFC6}" name="Column13" dataDxfId="3"/>
    <tableColumn id="15" xr3:uid="{1B344D3E-33DD-4B10-8AB6-3744F9ECFE27}" name="Column15" dataDxfId="2"/>
    <tableColumn id="17" xr3:uid="{5DA6EBC4-708D-4783-9919-24B2A784F6A1}" name="Column17" dataDxfId="1">
      <calculatedColumnFormula>SUM(G2:I2)</calculatedColumnFormula>
    </tableColumn>
    <tableColumn id="18" xr3:uid="{CFAB637A-B5FD-42B5-BD76-250E5289340C}" name="Column18" dataDxfId="0">
      <calculatedColumnFormula>IF(J2&gt;=120,"PASS","FAIL")</calculatedColumnFormula>
    </tableColumn>
    <tableColumn id="19" xr3:uid="{8527D744-389F-4931-A1AA-0122FF8FC207}" name="Column19">
      <calculatedColumnFormula>AVERAGE(G2:I16)</calculatedColumnFormula>
    </tableColumn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1"/>
  <sheetViews>
    <sheetView topLeftCell="A2" zoomScale="87" zoomScaleNormal="87" workbookViewId="0">
      <selection activeCell="O22" sqref="O22"/>
    </sheetView>
  </sheetViews>
  <sheetFormatPr defaultColWidth="9.109375" defaultRowHeight="14.4"/>
  <cols>
    <col min="1" max="1" width="15.21875" customWidth="1"/>
    <col min="2" max="6" width="10.21875" customWidth="1"/>
    <col min="7" max="11" width="11.21875" customWidth="1"/>
  </cols>
  <sheetData>
    <row r="1" spans="1:16">
      <c r="L1" s="9"/>
    </row>
    <row r="2" spans="1:16" ht="23.4">
      <c r="A2" s="1" t="s">
        <v>0</v>
      </c>
      <c r="B2" s="2" t="s">
        <v>72</v>
      </c>
      <c r="C2" s="2" t="s">
        <v>73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9"/>
    </row>
    <row r="3" spans="1:16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6">
      <c r="A4" s="2" t="s">
        <v>10</v>
      </c>
      <c r="B4" s="2" t="s">
        <v>11</v>
      </c>
      <c r="C4" s="2" t="s">
        <v>12</v>
      </c>
      <c r="D4" s="2">
        <v>1</v>
      </c>
      <c r="E4" s="2" t="s">
        <v>13</v>
      </c>
      <c r="F4" s="2" t="s">
        <v>14</v>
      </c>
      <c r="G4" s="2">
        <v>58</v>
      </c>
      <c r="H4" s="2">
        <v>88</v>
      </c>
      <c r="I4" s="2">
        <v>66</v>
      </c>
      <c r="J4" s="2">
        <f t="shared" ref="J4:J18" si="0">SUM(G4:I4)</f>
        <v>212</v>
      </c>
      <c r="K4" s="2" t="str">
        <f t="shared" ref="K4:K18" si="1">IF(J4&gt;=120,"PASS","FAIL")</f>
        <v>PASS</v>
      </c>
      <c r="M4" s="7" t="s">
        <v>74</v>
      </c>
      <c r="N4" s="7"/>
      <c r="O4" s="7"/>
      <c r="P4" s="7"/>
    </row>
    <row r="5" spans="1:16">
      <c r="A5" s="2" t="s">
        <v>15</v>
      </c>
      <c r="B5" s="2" t="s">
        <v>16</v>
      </c>
      <c r="C5" s="2" t="s">
        <v>17</v>
      </c>
      <c r="D5" s="2">
        <v>2</v>
      </c>
      <c r="E5" s="2" t="s">
        <v>13</v>
      </c>
      <c r="F5" s="2" t="s">
        <v>18</v>
      </c>
      <c r="G5" s="2">
        <v>60</v>
      </c>
      <c r="H5" s="2">
        <v>94</v>
      </c>
      <c r="I5" s="2">
        <v>65</v>
      </c>
      <c r="J5" s="2">
        <f t="shared" si="0"/>
        <v>219</v>
      </c>
      <c r="K5" s="2" t="str">
        <f t="shared" si="1"/>
        <v>PASS</v>
      </c>
      <c r="M5" s="7"/>
      <c r="N5" s="7"/>
      <c r="O5" s="7"/>
      <c r="P5" s="7"/>
    </row>
    <row r="6" spans="1:16">
      <c r="A6" s="2" t="s">
        <v>19</v>
      </c>
      <c r="B6" s="2" t="s">
        <v>20</v>
      </c>
      <c r="C6" s="2" t="s">
        <v>21</v>
      </c>
      <c r="D6" s="2">
        <v>3</v>
      </c>
      <c r="E6" s="2" t="s">
        <v>13</v>
      </c>
      <c r="F6" s="2" t="s">
        <v>22</v>
      </c>
      <c r="G6" s="2">
        <v>89</v>
      </c>
      <c r="H6" s="2">
        <v>55</v>
      </c>
      <c r="I6" s="2">
        <v>76</v>
      </c>
      <c r="J6" s="2">
        <f t="shared" si="0"/>
        <v>220</v>
      </c>
      <c r="K6" s="2" t="str">
        <f t="shared" si="1"/>
        <v>PASS</v>
      </c>
      <c r="M6" s="7">
        <v>3</v>
      </c>
      <c r="N6" s="7"/>
      <c r="O6" s="7"/>
      <c r="P6" s="7"/>
    </row>
    <row r="7" spans="1:16">
      <c r="A7" s="2" t="s">
        <v>23</v>
      </c>
      <c r="B7" s="2" t="s">
        <v>24</v>
      </c>
      <c r="C7" s="2" t="s">
        <v>25</v>
      </c>
      <c r="D7" s="2">
        <v>4</v>
      </c>
      <c r="E7" s="2" t="s">
        <v>13</v>
      </c>
      <c r="F7" s="2" t="s">
        <v>26</v>
      </c>
      <c r="G7" s="2">
        <v>90</v>
      </c>
      <c r="H7" s="2">
        <v>62</v>
      </c>
      <c r="I7" s="2">
        <v>89</v>
      </c>
      <c r="J7" s="2">
        <f t="shared" si="0"/>
        <v>241</v>
      </c>
      <c r="K7" s="2" t="str">
        <f t="shared" si="1"/>
        <v>PASS</v>
      </c>
    </row>
    <row r="8" spans="1:16">
      <c r="A8" s="2" t="s">
        <v>27</v>
      </c>
      <c r="B8" s="2" t="s">
        <v>28</v>
      </c>
      <c r="C8" s="2" t="s">
        <v>29</v>
      </c>
      <c r="D8" s="2">
        <v>5</v>
      </c>
      <c r="E8" s="2" t="s">
        <v>13</v>
      </c>
      <c r="F8" s="2" t="s">
        <v>14</v>
      </c>
      <c r="G8" s="2">
        <v>65</v>
      </c>
      <c r="H8" s="2">
        <v>66</v>
      </c>
      <c r="I8" s="2">
        <v>56</v>
      </c>
      <c r="J8" s="2">
        <f t="shared" si="0"/>
        <v>187</v>
      </c>
      <c r="K8" s="2" t="str">
        <f t="shared" si="1"/>
        <v>PASS</v>
      </c>
    </row>
    <row r="9" spans="1:16">
      <c r="A9" s="2" t="s">
        <v>30</v>
      </c>
      <c r="B9" s="2" t="s">
        <v>31</v>
      </c>
      <c r="C9" s="2" t="s">
        <v>32</v>
      </c>
      <c r="D9" s="2">
        <v>6</v>
      </c>
      <c r="E9" s="2" t="s">
        <v>13</v>
      </c>
      <c r="F9" s="2" t="s">
        <v>33</v>
      </c>
      <c r="G9" s="2">
        <v>32</v>
      </c>
      <c r="H9" s="2">
        <v>44</v>
      </c>
      <c r="I9" s="2">
        <v>43</v>
      </c>
      <c r="J9" s="2">
        <f t="shared" si="0"/>
        <v>119</v>
      </c>
      <c r="K9" s="2" t="str">
        <f t="shared" si="1"/>
        <v>FAIL</v>
      </c>
    </row>
    <row r="10" spans="1:16">
      <c r="A10" s="2" t="s">
        <v>34</v>
      </c>
      <c r="B10" s="2" t="s">
        <v>35</v>
      </c>
      <c r="C10" s="2" t="s">
        <v>36</v>
      </c>
      <c r="D10" s="2">
        <v>7</v>
      </c>
      <c r="E10" s="2" t="s">
        <v>13</v>
      </c>
      <c r="F10" s="2" t="s">
        <v>37</v>
      </c>
      <c r="G10" s="2">
        <v>97</v>
      </c>
      <c r="H10" s="2">
        <v>77</v>
      </c>
      <c r="I10" s="2">
        <v>33</v>
      </c>
      <c r="J10" s="2">
        <f t="shared" si="0"/>
        <v>207</v>
      </c>
      <c r="K10" s="2" t="str">
        <f t="shared" si="1"/>
        <v>PASS</v>
      </c>
    </row>
    <row r="11" spans="1:16">
      <c r="A11" s="2" t="s">
        <v>38</v>
      </c>
      <c r="B11" s="2" t="s">
        <v>39</v>
      </c>
      <c r="C11" s="2" t="s">
        <v>40</v>
      </c>
      <c r="D11" s="2">
        <v>8</v>
      </c>
      <c r="E11" s="2" t="s">
        <v>13</v>
      </c>
      <c r="F11" s="2" t="s">
        <v>41</v>
      </c>
      <c r="G11" s="2">
        <v>67</v>
      </c>
      <c r="H11" s="2">
        <v>86</v>
      </c>
      <c r="I11" s="2">
        <v>30</v>
      </c>
      <c r="J11" s="2">
        <f t="shared" si="0"/>
        <v>183</v>
      </c>
      <c r="K11" s="2" t="str">
        <f t="shared" si="1"/>
        <v>PASS</v>
      </c>
    </row>
    <row r="12" spans="1:16">
      <c r="A12" s="2" t="s">
        <v>42</v>
      </c>
      <c r="B12" s="2" t="s">
        <v>43</v>
      </c>
      <c r="C12" s="2" t="s">
        <v>44</v>
      </c>
      <c r="D12" s="2">
        <v>9</v>
      </c>
      <c r="E12" s="2" t="s">
        <v>13</v>
      </c>
      <c r="F12" s="2" t="s">
        <v>45</v>
      </c>
      <c r="G12" s="2">
        <v>77</v>
      </c>
      <c r="H12" s="2">
        <v>98</v>
      </c>
      <c r="I12" s="2">
        <v>16</v>
      </c>
      <c r="J12" s="2">
        <f t="shared" si="0"/>
        <v>191</v>
      </c>
      <c r="K12" s="2" t="str">
        <f t="shared" si="1"/>
        <v>PASS</v>
      </c>
    </row>
    <row r="13" spans="1:16">
      <c r="A13" s="2" t="s">
        <v>46</v>
      </c>
      <c r="B13" s="2" t="s">
        <v>47</v>
      </c>
      <c r="C13" s="2" t="s">
        <v>48</v>
      </c>
      <c r="D13" s="2">
        <v>10</v>
      </c>
      <c r="E13" s="2" t="s">
        <v>13</v>
      </c>
      <c r="F13" s="2" t="s">
        <v>49</v>
      </c>
      <c r="G13" s="2">
        <v>92</v>
      </c>
      <c r="H13" s="2">
        <v>74</v>
      </c>
      <c r="I13" s="2">
        <v>18</v>
      </c>
      <c r="J13" s="2">
        <f t="shared" si="0"/>
        <v>184</v>
      </c>
      <c r="K13" s="2" t="str">
        <f t="shared" si="1"/>
        <v>PASS</v>
      </c>
    </row>
    <row r="14" spans="1:16">
      <c r="A14" s="2" t="s">
        <v>50</v>
      </c>
      <c r="B14" s="2" t="s">
        <v>51</v>
      </c>
      <c r="C14" s="2" t="s">
        <v>52</v>
      </c>
      <c r="D14" s="2">
        <v>11</v>
      </c>
      <c r="E14" s="2" t="s">
        <v>13</v>
      </c>
      <c r="F14" s="2" t="s">
        <v>53</v>
      </c>
      <c r="G14" s="2">
        <v>43</v>
      </c>
      <c r="H14" s="2">
        <v>10</v>
      </c>
      <c r="I14" s="2">
        <v>30</v>
      </c>
      <c r="J14" s="2">
        <f t="shared" si="0"/>
        <v>83</v>
      </c>
      <c r="K14" s="2" t="str">
        <f t="shared" si="1"/>
        <v>FAIL</v>
      </c>
    </row>
    <row r="15" spans="1:16">
      <c r="A15" s="2" t="s">
        <v>54</v>
      </c>
      <c r="B15" s="2" t="s">
        <v>55</v>
      </c>
      <c r="C15" s="2" t="s">
        <v>56</v>
      </c>
      <c r="D15" s="2">
        <v>12</v>
      </c>
      <c r="E15" s="2" t="s">
        <v>13</v>
      </c>
      <c r="F15" s="2" t="s">
        <v>57</v>
      </c>
      <c r="G15" s="2">
        <v>62</v>
      </c>
      <c r="H15" s="2">
        <v>30</v>
      </c>
      <c r="I15" s="2">
        <v>44</v>
      </c>
      <c r="J15" s="2">
        <f t="shared" si="0"/>
        <v>136</v>
      </c>
      <c r="K15" s="2" t="str">
        <f t="shared" si="1"/>
        <v>PASS</v>
      </c>
      <c r="N15" s="6" t="s">
        <v>87</v>
      </c>
      <c r="O15" s="5">
        <v>12</v>
      </c>
    </row>
    <row r="16" spans="1:16">
      <c r="A16" s="2" t="s">
        <v>58</v>
      </c>
      <c r="B16" s="2" t="s">
        <v>59</v>
      </c>
      <c r="C16" s="2" t="s">
        <v>60</v>
      </c>
      <c r="D16" s="2">
        <v>13</v>
      </c>
      <c r="E16" s="2" t="s">
        <v>13</v>
      </c>
      <c r="F16" s="2" t="s">
        <v>14</v>
      </c>
      <c r="G16" s="2">
        <v>55</v>
      </c>
      <c r="H16" s="2">
        <v>10</v>
      </c>
      <c r="I16" s="2">
        <v>56</v>
      </c>
      <c r="J16" s="2">
        <f t="shared" si="0"/>
        <v>121</v>
      </c>
      <c r="K16" s="2" t="str">
        <f t="shared" si="1"/>
        <v>PASS</v>
      </c>
      <c r="N16" s="6" t="s">
        <v>88</v>
      </c>
      <c r="O16" s="5">
        <v>3</v>
      </c>
    </row>
    <row r="17" spans="1:11">
      <c r="A17" s="2" t="s">
        <v>61</v>
      </c>
      <c r="B17" s="2" t="s">
        <v>62</v>
      </c>
      <c r="C17" s="2" t="s">
        <v>63</v>
      </c>
      <c r="D17" s="2">
        <v>14</v>
      </c>
      <c r="E17" s="2" t="s">
        <v>13</v>
      </c>
      <c r="F17" s="2" t="s">
        <v>64</v>
      </c>
      <c r="G17" s="2">
        <v>94</v>
      </c>
      <c r="H17" s="2">
        <v>32</v>
      </c>
      <c r="I17" s="2">
        <v>77</v>
      </c>
      <c r="J17" s="2">
        <f t="shared" si="0"/>
        <v>203</v>
      </c>
      <c r="K17" s="2" t="str">
        <f t="shared" si="1"/>
        <v>PASS</v>
      </c>
    </row>
    <row r="18" spans="1:11">
      <c r="A18" s="2" t="s">
        <v>65</v>
      </c>
      <c r="B18" s="2" t="s">
        <v>66</v>
      </c>
      <c r="C18" s="2" t="s">
        <v>67</v>
      </c>
      <c r="D18" s="2">
        <v>15</v>
      </c>
      <c r="E18" s="2" t="s">
        <v>13</v>
      </c>
      <c r="F18" s="2" t="s">
        <v>68</v>
      </c>
      <c r="G18" s="2">
        <v>50</v>
      </c>
      <c r="H18" s="2">
        <v>22</v>
      </c>
      <c r="I18" s="2">
        <v>24</v>
      </c>
      <c r="J18" s="2">
        <f t="shared" si="0"/>
        <v>96</v>
      </c>
      <c r="K18" s="2" t="str">
        <f t="shared" si="1"/>
        <v>FAIL</v>
      </c>
    </row>
    <row r="19" spans="1:11">
      <c r="A19" s="2"/>
      <c r="B19" s="2"/>
      <c r="C19" s="2"/>
      <c r="E19" s="2"/>
      <c r="J19" s="8"/>
      <c r="K19" s="8"/>
    </row>
    <row r="20" spans="1:11">
      <c r="A20" s="2"/>
      <c r="B20" s="2"/>
      <c r="C20" s="2"/>
      <c r="E20" s="2"/>
    </row>
    <row r="21" spans="1:11">
      <c r="A21" s="2"/>
      <c r="B21" s="2"/>
      <c r="C21" s="2"/>
    </row>
  </sheetData>
  <mergeCells count="4">
    <mergeCell ref="M4:P5"/>
    <mergeCell ref="M6:P6"/>
    <mergeCell ref="J19:K19"/>
    <mergeCell ref="L1:L2"/>
  </mergeCell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8"/>
  <sheetViews>
    <sheetView topLeftCell="A2" workbookViewId="0">
      <selection sqref="A1:XFD1"/>
    </sheetView>
  </sheetViews>
  <sheetFormatPr defaultColWidth="9.109375" defaultRowHeight="14.4"/>
  <cols>
    <col min="1" max="1" width="15.109375" customWidth="1"/>
    <col min="2" max="6" width="10.109375" customWidth="1"/>
    <col min="7" max="11" width="11.109375" customWidth="1"/>
    <col min="12" max="12" width="12.88671875"/>
    <col min="14" max="14" width="22.109375" customWidth="1"/>
  </cols>
  <sheetData>
    <row r="1" spans="1:14" ht="23.4" hidden="1">
      <c r="A1" s="1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t="s">
        <v>86</v>
      </c>
    </row>
    <row r="2" spans="1:14" ht="23.4">
      <c r="A2" s="1" t="s">
        <v>0</v>
      </c>
      <c r="B2" s="2" t="s">
        <v>1</v>
      </c>
      <c r="C2" s="2" t="s">
        <v>0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t="s">
        <v>69</v>
      </c>
    </row>
    <row r="3" spans="1:14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4">
      <c r="A4" s="2" t="s">
        <v>10</v>
      </c>
      <c r="B4" s="2" t="s">
        <v>11</v>
      </c>
      <c r="C4" s="2" t="s">
        <v>12</v>
      </c>
      <c r="D4" s="2">
        <v>1</v>
      </c>
      <c r="E4" s="2" t="s">
        <v>13</v>
      </c>
      <c r="F4" s="2" t="s">
        <v>14</v>
      </c>
      <c r="G4" s="2">
        <v>58</v>
      </c>
      <c r="H4" s="2">
        <v>88</v>
      </c>
      <c r="I4" s="2">
        <v>66</v>
      </c>
      <c r="J4" s="2">
        <f t="shared" ref="J4:J18" si="0">SUM(G4:I4)</f>
        <v>212</v>
      </c>
      <c r="K4" s="2" t="str">
        <f t="shared" ref="K4:K18" si="1">IF(J4&gt;=120,"PASS","FAIL")</f>
        <v>PASS</v>
      </c>
      <c r="L4">
        <f t="shared" ref="L4:L18" si="2">AVERAGE(G4:I18)</f>
        <v>57.822222222222223</v>
      </c>
    </row>
    <row r="5" spans="1:14">
      <c r="A5" s="2" t="s">
        <v>15</v>
      </c>
      <c r="B5" s="2" t="s">
        <v>16</v>
      </c>
      <c r="C5" s="2" t="s">
        <v>17</v>
      </c>
      <c r="D5" s="2">
        <v>2</v>
      </c>
      <c r="E5" s="2" t="s">
        <v>13</v>
      </c>
      <c r="F5" s="2" t="s">
        <v>18</v>
      </c>
      <c r="G5" s="2">
        <v>60</v>
      </c>
      <c r="H5" s="2">
        <v>94</v>
      </c>
      <c r="I5" s="2">
        <v>65</v>
      </c>
      <c r="J5" s="2">
        <f t="shared" si="0"/>
        <v>219</v>
      </c>
      <c r="K5" s="2" t="str">
        <f t="shared" si="1"/>
        <v>PASS</v>
      </c>
      <c r="L5">
        <f t="shared" si="2"/>
        <v>56.904761904761905</v>
      </c>
    </row>
    <row r="6" spans="1:14">
      <c r="A6" s="2" t="s">
        <v>19</v>
      </c>
      <c r="B6" s="2" t="s">
        <v>20</v>
      </c>
      <c r="C6" s="2" t="s">
        <v>21</v>
      </c>
      <c r="D6" s="2">
        <v>3</v>
      </c>
      <c r="E6" s="2" t="s">
        <v>13</v>
      </c>
      <c r="F6" s="2" t="s">
        <v>22</v>
      </c>
      <c r="G6" s="2">
        <v>89</v>
      </c>
      <c r="H6" s="2">
        <v>55</v>
      </c>
      <c r="I6" s="2">
        <v>76</v>
      </c>
      <c r="J6" s="2">
        <f t="shared" si="0"/>
        <v>220</v>
      </c>
      <c r="K6" s="2" t="str">
        <f t="shared" si="1"/>
        <v>PASS</v>
      </c>
      <c r="L6">
        <f t="shared" si="2"/>
        <v>55.666666666666664</v>
      </c>
    </row>
    <row r="7" spans="1:14">
      <c r="A7" s="2" t="s">
        <v>23</v>
      </c>
      <c r="B7" s="2" t="s">
        <v>24</v>
      </c>
      <c r="C7" s="2" t="s">
        <v>25</v>
      </c>
      <c r="D7" s="2">
        <v>4</v>
      </c>
      <c r="E7" s="2" t="s">
        <v>13</v>
      </c>
      <c r="F7" s="2" t="s">
        <v>26</v>
      </c>
      <c r="G7" s="2">
        <v>90</v>
      </c>
      <c r="H7" s="2">
        <v>62</v>
      </c>
      <c r="I7" s="2">
        <v>89</v>
      </c>
      <c r="J7" s="2">
        <f t="shared" si="0"/>
        <v>241</v>
      </c>
      <c r="K7" s="2" t="str">
        <f t="shared" si="1"/>
        <v>PASS</v>
      </c>
      <c r="L7">
        <f t="shared" si="2"/>
        <v>54.194444444444443</v>
      </c>
    </row>
    <row r="8" spans="1:14" ht="18">
      <c r="A8" s="2" t="s">
        <v>27</v>
      </c>
      <c r="B8" s="2" t="s">
        <v>28</v>
      </c>
      <c r="C8" s="2" t="s">
        <v>29</v>
      </c>
      <c r="D8" s="2">
        <v>5</v>
      </c>
      <c r="E8" s="2" t="s">
        <v>13</v>
      </c>
      <c r="F8" s="2" t="s">
        <v>14</v>
      </c>
      <c r="G8" s="2">
        <v>65</v>
      </c>
      <c r="H8" s="2">
        <v>66</v>
      </c>
      <c r="I8" s="2">
        <v>56</v>
      </c>
      <c r="J8" s="2">
        <f t="shared" si="0"/>
        <v>187</v>
      </c>
      <c r="K8" s="2" t="str">
        <f t="shared" si="1"/>
        <v>PASS</v>
      </c>
      <c r="L8">
        <f t="shared" si="2"/>
        <v>51.81818181818182</v>
      </c>
      <c r="N8" s="4" t="s">
        <v>70</v>
      </c>
    </row>
    <row r="9" spans="1:14">
      <c r="A9" s="2" t="s">
        <v>30</v>
      </c>
      <c r="B9" s="2" t="s">
        <v>31</v>
      </c>
      <c r="C9" s="2" t="s">
        <v>32</v>
      </c>
      <c r="D9" s="2">
        <v>6</v>
      </c>
      <c r="E9" s="2" t="s">
        <v>13</v>
      </c>
      <c r="F9" s="2" t="s">
        <v>33</v>
      </c>
      <c r="G9" s="2">
        <v>32</v>
      </c>
      <c r="H9" s="2">
        <v>44</v>
      </c>
      <c r="I9" s="2">
        <v>43</v>
      </c>
      <c r="J9" s="2">
        <f t="shared" si="0"/>
        <v>119</v>
      </c>
      <c r="K9" s="2" t="str">
        <f t="shared" si="1"/>
        <v>FAIL</v>
      </c>
      <c r="L9">
        <f t="shared" si="2"/>
        <v>50.766666666666666</v>
      </c>
      <c r="N9" s="3">
        <f>MAX(G4:I18)</f>
        <v>98</v>
      </c>
    </row>
    <row r="10" spans="1:14">
      <c r="A10" s="2" t="s">
        <v>34</v>
      </c>
      <c r="B10" s="2" t="s">
        <v>35</v>
      </c>
      <c r="C10" s="2" t="s">
        <v>36</v>
      </c>
      <c r="D10" s="2">
        <v>7</v>
      </c>
      <c r="E10" s="2" t="s">
        <v>13</v>
      </c>
      <c r="F10" s="2" t="s">
        <v>37</v>
      </c>
      <c r="G10" s="2">
        <v>97</v>
      </c>
      <c r="H10" s="2">
        <v>77</v>
      </c>
      <c r="I10" s="2">
        <v>33</v>
      </c>
      <c r="J10" s="2">
        <f t="shared" si="0"/>
        <v>207</v>
      </c>
      <c r="K10" s="2" t="str">
        <f t="shared" si="1"/>
        <v>PASS</v>
      </c>
      <c r="L10">
        <f t="shared" si="2"/>
        <v>52</v>
      </c>
    </row>
    <row r="11" spans="1:14">
      <c r="A11" s="2" t="s">
        <v>38</v>
      </c>
      <c r="B11" s="2" t="s">
        <v>39</v>
      </c>
      <c r="C11" s="2" t="s">
        <v>40</v>
      </c>
      <c r="D11" s="2">
        <v>8</v>
      </c>
      <c r="E11" s="2" t="s">
        <v>13</v>
      </c>
      <c r="F11" s="2" t="s">
        <v>41</v>
      </c>
      <c r="G11" s="2">
        <v>67</v>
      </c>
      <c r="H11" s="2">
        <v>86</v>
      </c>
      <c r="I11" s="2">
        <v>30</v>
      </c>
      <c r="J11" s="2">
        <f t="shared" si="0"/>
        <v>183</v>
      </c>
      <c r="K11" s="2" t="str">
        <f t="shared" si="1"/>
        <v>PASS</v>
      </c>
      <c r="L11">
        <f t="shared" si="2"/>
        <v>49.875</v>
      </c>
    </row>
    <row r="12" spans="1:14" ht="18">
      <c r="A12" s="2" t="s">
        <v>42</v>
      </c>
      <c r="B12" s="2" t="s">
        <v>43</v>
      </c>
      <c r="C12" s="2" t="s">
        <v>44</v>
      </c>
      <c r="D12" s="2">
        <v>9</v>
      </c>
      <c r="E12" s="2" t="s">
        <v>13</v>
      </c>
      <c r="F12" s="2" t="s">
        <v>45</v>
      </c>
      <c r="G12" s="2">
        <v>77</v>
      </c>
      <c r="H12" s="2">
        <v>98</v>
      </c>
      <c r="I12" s="2">
        <v>16</v>
      </c>
      <c r="J12" s="2">
        <f t="shared" si="0"/>
        <v>191</v>
      </c>
      <c r="K12" s="2" t="str">
        <f t="shared" si="1"/>
        <v>PASS</v>
      </c>
      <c r="L12">
        <f t="shared" si="2"/>
        <v>48.285714285714285</v>
      </c>
      <c r="N12" s="5" t="s">
        <v>71</v>
      </c>
    </row>
    <row r="13" spans="1:14">
      <c r="A13" s="2" t="s">
        <v>46</v>
      </c>
      <c r="B13" s="2" t="s">
        <v>47</v>
      </c>
      <c r="C13" s="2" t="s">
        <v>48</v>
      </c>
      <c r="D13" s="2">
        <v>10</v>
      </c>
      <c r="E13" s="2" t="s">
        <v>13</v>
      </c>
      <c r="F13" s="2" t="s">
        <v>49</v>
      </c>
      <c r="G13" s="2">
        <v>92</v>
      </c>
      <c r="H13" s="2">
        <v>74</v>
      </c>
      <c r="I13" s="2">
        <v>18</v>
      </c>
      <c r="J13" s="2">
        <f t="shared" si="0"/>
        <v>184</v>
      </c>
      <c r="K13" s="2" t="str">
        <f t="shared" si="1"/>
        <v>PASS</v>
      </c>
      <c r="L13">
        <f t="shared" si="2"/>
        <v>45.722222222222221</v>
      </c>
      <c r="N13" s="3">
        <f>MIN(G4:I18)</f>
        <v>10</v>
      </c>
    </row>
    <row r="14" spans="1:14">
      <c r="A14" s="2" t="s">
        <v>50</v>
      </c>
      <c r="B14" s="2" t="s">
        <v>51</v>
      </c>
      <c r="C14" s="2" t="s">
        <v>52</v>
      </c>
      <c r="D14" s="2">
        <v>11</v>
      </c>
      <c r="E14" s="2" t="s">
        <v>13</v>
      </c>
      <c r="F14" s="2" t="s">
        <v>53</v>
      </c>
      <c r="G14" s="2">
        <v>43</v>
      </c>
      <c r="H14" s="2">
        <v>10</v>
      </c>
      <c r="I14" s="2">
        <v>30</v>
      </c>
      <c r="J14" s="2">
        <f t="shared" si="0"/>
        <v>83</v>
      </c>
      <c r="K14" s="2" t="str">
        <f t="shared" si="1"/>
        <v>FAIL</v>
      </c>
      <c r="L14">
        <f t="shared" si="2"/>
        <v>42.6</v>
      </c>
    </row>
    <row r="15" spans="1:14">
      <c r="A15" s="2" t="s">
        <v>54</v>
      </c>
      <c r="B15" s="2" t="s">
        <v>55</v>
      </c>
      <c r="C15" s="2" t="s">
        <v>56</v>
      </c>
      <c r="D15" s="2">
        <v>12</v>
      </c>
      <c r="E15" s="2" t="s">
        <v>13</v>
      </c>
      <c r="F15" s="2" t="s">
        <v>57</v>
      </c>
      <c r="G15" s="2">
        <v>62</v>
      </c>
      <c r="H15" s="2">
        <v>30</v>
      </c>
      <c r="I15" s="2">
        <v>44</v>
      </c>
      <c r="J15" s="2">
        <f t="shared" si="0"/>
        <v>136</v>
      </c>
      <c r="K15" s="2" t="str">
        <f t="shared" si="1"/>
        <v>PASS</v>
      </c>
      <c r="L15">
        <f t="shared" si="2"/>
        <v>46.333333333333336</v>
      </c>
    </row>
    <row r="16" spans="1:14">
      <c r="A16" s="2" t="s">
        <v>58</v>
      </c>
      <c r="B16" s="2" t="s">
        <v>59</v>
      </c>
      <c r="C16" s="2" t="s">
        <v>60</v>
      </c>
      <c r="D16" s="2">
        <v>13</v>
      </c>
      <c r="E16" s="2" t="s">
        <v>13</v>
      </c>
      <c r="F16" s="2" t="s">
        <v>14</v>
      </c>
      <c r="G16" s="2">
        <v>55</v>
      </c>
      <c r="H16" s="2">
        <v>10</v>
      </c>
      <c r="I16" s="2">
        <v>56</v>
      </c>
      <c r="J16" s="2">
        <f t="shared" si="0"/>
        <v>121</v>
      </c>
      <c r="K16" s="2" t="str">
        <f t="shared" si="1"/>
        <v>PASS</v>
      </c>
      <c r="L16">
        <f t="shared" si="2"/>
        <v>46.666666666666664</v>
      </c>
    </row>
    <row r="17" spans="1:12">
      <c r="A17" s="2" t="s">
        <v>61</v>
      </c>
      <c r="B17" s="2" t="s">
        <v>62</v>
      </c>
      <c r="C17" s="2" t="s">
        <v>63</v>
      </c>
      <c r="D17" s="2">
        <v>14</v>
      </c>
      <c r="E17" s="2" t="s">
        <v>13</v>
      </c>
      <c r="F17" s="2" t="s">
        <v>64</v>
      </c>
      <c r="G17" s="2">
        <v>94</v>
      </c>
      <c r="H17" s="2">
        <v>32</v>
      </c>
      <c r="I17" s="2">
        <v>77</v>
      </c>
      <c r="J17" s="2">
        <f t="shared" si="0"/>
        <v>203</v>
      </c>
      <c r="K17" s="2" t="str">
        <f t="shared" si="1"/>
        <v>PASS</v>
      </c>
      <c r="L17">
        <f t="shared" si="2"/>
        <v>49.833333333333336</v>
      </c>
    </row>
    <row r="18" spans="1:12">
      <c r="A18" s="2" t="s">
        <v>65</v>
      </c>
      <c r="B18" s="2" t="s">
        <v>66</v>
      </c>
      <c r="C18" s="2" t="s">
        <v>67</v>
      </c>
      <c r="D18" s="2">
        <v>15</v>
      </c>
      <c r="E18" s="2" t="s">
        <v>13</v>
      </c>
      <c r="F18" s="2" t="s">
        <v>68</v>
      </c>
      <c r="G18" s="2">
        <v>50</v>
      </c>
      <c r="H18" s="2">
        <v>22</v>
      </c>
      <c r="I18" s="2">
        <v>24</v>
      </c>
      <c r="J18" s="2">
        <f t="shared" si="0"/>
        <v>96</v>
      </c>
      <c r="K18" s="2" t="str">
        <f t="shared" si="1"/>
        <v>FAIL</v>
      </c>
      <c r="L18">
        <f t="shared" si="2"/>
        <v>32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tabSelected="1" workbookViewId="0">
      <selection activeCell="K29" sqref="K29"/>
    </sheetView>
  </sheetViews>
  <sheetFormatPr defaultColWidth="9.109375" defaultRowHeight="14.4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Student_data</vt:lpstr>
      <vt:lpstr>Marks_Analysis</vt:lpstr>
      <vt:lpstr>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Ankit kumar</cp:lastModifiedBy>
  <dcterms:created xsi:type="dcterms:W3CDTF">2025-12-23T06:59:00Z</dcterms:created>
  <dcterms:modified xsi:type="dcterms:W3CDTF">2026-01-30T19:44:30Z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62FA5C7CE9DF416683C1E42784E03F25_11</vt:lpwstr>
  </property>
  <property fmtid="{D5CDD505-2E9C-101B-9397-08002B2CF9AE}" pid="3" name="KSOProductBuildVer">
    <vt:lpwstr>1033-12.2.0.23196</vt:lpwstr>
  </property>
</Properties>
</file>