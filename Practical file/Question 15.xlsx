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ndows 32\B.tech (CSE)\NALS\Practical file work\"/>
    </mc:Choice>
  </mc:AlternateContent>
  <xr:revisionPtr revIDLastSave="0" documentId="8_{0553316A-9949-4588-BAB9-88AE1346E608}" xr6:coauthVersionLast="47" xr6:coauthVersionMax="47" xr10:uidLastSave="{00000000-0000-0000-0000-000000000000}"/>
  <bookViews>
    <workbookView xWindow="-108" yWindow="-108" windowWidth="23256" windowHeight="13176" xr2:uid="{5FB8403A-62F4-4C19-86FA-04030C6AC858}"/>
  </bookViews>
  <sheets>
    <sheet name="Sheet1" sheetId="1" r:id="rId1"/>
    <sheet name="Budget" sheetId="2" r:id="rId2"/>
  </sheets>
  <definedNames>
    <definedName name="_xlnm.Print_Area" localSheetId="0">Sheet1!$B$1:$L$21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2" i="2"/>
  <c r="K3" i="1"/>
  <c r="K4" i="1"/>
  <c r="K5" i="1"/>
  <c r="K6" i="1"/>
  <c r="K2" i="1"/>
</calcChain>
</file>

<file path=xl/sharedStrings.xml><?xml version="1.0" encoding="utf-8"?>
<sst xmlns="http://schemas.openxmlformats.org/spreadsheetml/2006/main" count="122" uniqueCount="48">
  <si>
    <t>Date</t>
  </si>
  <si>
    <t>Category</t>
  </si>
  <si>
    <t>Expense Detail</t>
  </si>
  <si>
    <t>Amount (₹)</t>
  </si>
  <si>
    <t>Payment Method</t>
  </si>
  <si>
    <t>Food</t>
  </si>
  <si>
    <t>Lunch</t>
  </si>
  <si>
    <t>Cash</t>
  </si>
  <si>
    <t>Travel</t>
  </si>
  <si>
    <t>Bus Pass</t>
  </si>
  <si>
    <t>UPI</t>
  </si>
  <si>
    <t>Shopping</t>
  </si>
  <si>
    <t>Clothes</t>
  </si>
  <si>
    <t>Card</t>
  </si>
  <si>
    <t>Fees</t>
  </si>
  <si>
    <t>Exam Fees</t>
  </si>
  <si>
    <t>Dinner</t>
  </si>
  <si>
    <t>Taxi</t>
  </si>
  <si>
    <t>Shoes</t>
  </si>
  <si>
    <t>Snacks</t>
  </si>
  <si>
    <t>Other</t>
  </si>
  <si>
    <t>Mobile Recharge</t>
  </si>
  <si>
    <t>Train Ticket</t>
  </si>
  <si>
    <t>Course Fees</t>
  </si>
  <si>
    <t>Bag</t>
  </si>
  <si>
    <t>Breakfast</t>
  </si>
  <si>
    <t>Internet Bill</t>
  </si>
  <si>
    <t>Fuel</t>
  </si>
  <si>
    <t>Accessories</t>
  </si>
  <si>
    <t>Library Fees</t>
  </si>
  <si>
    <t>Medicine</t>
  </si>
  <si>
    <t>Cab</t>
  </si>
  <si>
    <t>food</t>
  </si>
  <si>
    <t>travel</t>
  </si>
  <si>
    <t>fees</t>
  </si>
  <si>
    <t>shopping</t>
  </si>
  <si>
    <t>other</t>
  </si>
  <si>
    <t>Budget (₹)</t>
  </si>
  <si>
    <t>Actual (₹)</t>
  </si>
  <si>
    <t>Difference (₹)</t>
  </si>
  <si>
    <t>Rent</t>
  </si>
  <si>
    <t>Transport</t>
  </si>
  <si>
    <t>Others</t>
  </si>
  <si>
    <t>Day</t>
  </si>
  <si>
    <t>Month</t>
  </si>
  <si>
    <t>Year</t>
  </si>
  <si>
    <t>01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</si>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</sst>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Budget!$C$1</c:f>
              <c:strCache>
                <c:ptCount val="1"/>
                <c:pt idx="0">
                  <c:v>Actual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6D-41EC-9CCC-F90F65E419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6D-41EC-9CCC-F90F65E419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6D-41EC-9CCC-F90F65E419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6D-41EC-9CCC-F90F65E419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6D-41EC-9CCC-F90F65E41975}"/>
              </c:ext>
            </c:extLst>
          </c:dPt>
          <c:cat>
            <c:strRef>
              <c:f>Budget!$A$2:$A$6</c:f>
              <c:strCache>
                <c:ptCount val="5"/>
                <c:pt idx="0">
                  <c:v>Rent</c:v>
                </c:pt>
                <c:pt idx="1">
                  <c:v>Food</c:v>
                </c:pt>
                <c:pt idx="2">
                  <c:v>Transport</c:v>
                </c:pt>
                <c:pt idx="3">
                  <c:v>Shopping</c:v>
                </c:pt>
                <c:pt idx="4">
                  <c:v>Others</c:v>
                </c:pt>
              </c:strCache>
            </c:strRef>
          </c:cat>
          <c:val>
            <c:numRef>
              <c:f>Budget!$C$2:$C$6</c:f>
              <c:numCache>
                <c:formatCode>General</c:formatCode>
                <c:ptCount val="5"/>
                <c:pt idx="0">
                  <c:v>4800</c:v>
                </c:pt>
                <c:pt idx="1">
                  <c:v>3200</c:v>
                </c:pt>
                <c:pt idx="2">
                  <c:v>1800</c:v>
                </c:pt>
                <c:pt idx="3">
                  <c:v>2700</c:v>
                </c:pt>
                <c:pt idx="4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6D-41EC-9CCC-F90F65E41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Budget!$B$1</c:f>
              <c:strCache>
                <c:ptCount val="1"/>
                <c:pt idx="0">
                  <c:v>Budget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Budget!$A$2:$A$6</c:f>
              <c:strCache>
                <c:ptCount val="5"/>
                <c:pt idx="0">
                  <c:v>Rent</c:v>
                </c:pt>
                <c:pt idx="1">
                  <c:v>Food</c:v>
                </c:pt>
                <c:pt idx="2">
                  <c:v>Transport</c:v>
                </c:pt>
                <c:pt idx="3">
                  <c:v>Shopping</c:v>
                </c:pt>
                <c:pt idx="4">
                  <c:v>Others</c:v>
                </c:pt>
              </c:strCache>
            </c:strRef>
          </c:cat>
          <c:val>
            <c:numRef>
              <c:f>Budget!$B$2:$B$6</c:f>
              <c:numCache>
                <c:formatCode>General</c:formatCode>
                <c:ptCount val="5"/>
                <c:pt idx="0">
                  <c:v>5000</c:v>
                </c:pt>
                <c:pt idx="1">
                  <c:v>4000</c:v>
                </c:pt>
                <c:pt idx="2">
                  <c:v>2000</c:v>
                </c:pt>
                <c:pt idx="3">
                  <c:v>3500</c:v>
                </c:pt>
                <c:pt idx="4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0-4748-9E62-A56D56FCDC80}"/>
            </c:ext>
          </c:extLst>
        </c:ser>
        <c:ser>
          <c:idx val="1"/>
          <c:order val="1"/>
          <c:tx>
            <c:strRef>
              <c:f>Budget!$C$1</c:f>
              <c:strCache>
                <c:ptCount val="1"/>
                <c:pt idx="0">
                  <c:v>Actual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Budget!$A$2:$A$6</c:f>
              <c:strCache>
                <c:ptCount val="5"/>
                <c:pt idx="0">
                  <c:v>Rent</c:v>
                </c:pt>
                <c:pt idx="1">
                  <c:v>Food</c:v>
                </c:pt>
                <c:pt idx="2">
                  <c:v>Transport</c:v>
                </c:pt>
                <c:pt idx="3">
                  <c:v>Shopping</c:v>
                </c:pt>
                <c:pt idx="4">
                  <c:v>Others</c:v>
                </c:pt>
              </c:strCache>
            </c:strRef>
          </c:cat>
          <c:val>
            <c:numRef>
              <c:f>Budget!$C$2:$C$6</c:f>
              <c:numCache>
                <c:formatCode>General</c:formatCode>
                <c:ptCount val="5"/>
                <c:pt idx="0">
                  <c:v>4800</c:v>
                </c:pt>
                <c:pt idx="1">
                  <c:v>3200</c:v>
                </c:pt>
                <c:pt idx="2">
                  <c:v>1800</c:v>
                </c:pt>
                <c:pt idx="3">
                  <c:v>2700</c:v>
                </c:pt>
                <c:pt idx="4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0-4748-9E62-A56D56FCD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9504591"/>
        <c:axId val="349505551"/>
        <c:axId val="0"/>
      </c:bar3DChart>
      <c:catAx>
        <c:axId val="34950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05551"/>
        <c:crosses val="autoZero"/>
        <c:auto val="1"/>
        <c:lblAlgn val="ctr"/>
        <c:lblOffset val="100"/>
        <c:noMultiLvlLbl val="0"/>
      </c:catAx>
      <c:valAx>
        <c:axId val="3495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0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41232-FE56-4A10-9624-DA9E883A5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0</xdr:rowOff>
    </xdr:from>
    <xdr:to>
      <xdr:col>13</xdr:col>
      <xdr:colOff>304800</xdr:colOff>
      <xdr:row>22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D77F75-51BF-4074-9966-3C6F13993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8BE8-6479-4CFD-A8CD-C5C7C6EC83D4}">
  <dimension ref="A1:K21"/>
  <sheetViews>
    <sheetView tabSelected="1" topLeftCell="D1" zoomScaleNormal="100" workbookViewId="0">
      <selection activeCell="O10" sqref="O10"/>
    </sheetView>
  </sheetViews>
  <sheetFormatPr defaultRowHeight="14.4" x14ac:dyDescent="0.3"/>
  <cols>
    <col min="1" max="5" width="17.21875" style="1" customWidth="1"/>
    <col min="6" max="6" width="19" style="1" customWidth="1"/>
    <col min="7" max="7" width="17.21875" style="1" customWidth="1"/>
    <col min="8" max="8" width="21.77734375" style="1" customWidth="1"/>
  </cols>
  <sheetData>
    <row r="1" spans="1:11" ht="29.55" customHeight="1" x14ac:dyDescent="0.3">
      <c r="A1" s="4" t="s">
        <v>0</v>
      </c>
      <c r="B1" s="4" t="s">
        <v>43</v>
      </c>
      <c r="C1" s="4" t="s">
        <v>44</v>
      </c>
      <c r="D1" s="4" t="s">
        <v>45</v>
      </c>
      <c r="E1" s="4" t="s">
        <v>1</v>
      </c>
      <c r="F1" s="4" t="s">
        <v>2</v>
      </c>
      <c r="G1" s="4" t="s">
        <v>3</v>
      </c>
      <c r="H1" s="4" t="s">
        <v>4</v>
      </c>
    </row>
    <row r="2" spans="1:11" ht="22.05" customHeight="1" x14ac:dyDescent="0.3">
      <c r="A2" s="3">
        <v>45658</v>
      </c>
      <c r="B2" s="2">
        <v>1</v>
      </c>
      <c r="C2" s="6" t="s">
        <v>46</v>
      </c>
      <c r="D2" s="6" t="s">
        <v>47</v>
      </c>
      <c r="E2" s="2" t="s">
        <v>5</v>
      </c>
      <c r="F2" s="2" t="s">
        <v>6</v>
      </c>
      <c r="G2" s="2">
        <v>250</v>
      </c>
      <c r="H2" s="2" t="s">
        <v>7</v>
      </c>
      <c r="J2" s="2" t="s">
        <v>32</v>
      </c>
      <c r="K2" s="5">
        <f>SUMIF($E$2:$E$21, J2, $G$2:$G$21)</f>
        <v>1280</v>
      </c>
    </row>
    <row r="3" spans="1:11" ht="22.05" customHeight="1" x14ac:dyDescent="0.3">
      <c r="A3" s="3">
        <v>45659</v>
      </c>
      <c r="B3" s="2">
        <v>2</v>
      </c>
      <c r="C3" s="6" t="s">
        <v>46</v>
      </c>
      <c r="D3" s="6" t="s">
        <v>47</v>
      </c>
      <c r="E3" s="2" t="s">
        <v>8</v>
      </c>
      <c r="F3" s="2" t="s">
        <v>9</v>
      </c>
      <c r="G3" s="2">
        <v>1200</v>
      </c>
      <c r="H3" s="2" t="s">
        <v>10</v>
      </c>
      <c r="J3" s="2" t="s">
        <v>33</v>
      </c>
      <c r="K3" s="5">
        <f t="shared" ref="K3:K6" si="0">SUMIF($E$2:$E$21, J3, $G$2:$G$21)</f>
        <v>10000</v>
      </c>
    </row>
    <row r="4" spans="1:11" ht="22.05" customHeight="1" x14ac:dyDescent="0.3">
      <c r="A4" s="3">
        <v>45660</v>
      </c>
      <c r="B4" s="2">
        <v>3</v>
      </c>
      <c r="C4" s="6" t="s">
        <v>46</v>
      </c>
      <c r="D4" s="6" t="s">
        <v>47</v>
      </c>
      <c r="E4" s="2" t="s">
        <v>11</v>
      </c>
      <c r="F4" s="2" t="s">
        <v>12</v>
      </c>
      <c r="G4" s="2">
        <v>3200</v>
      </c>
      <c r="H4" s="2" t="s">
        <v>13</v>
      </c>
      <c r="J4" s="2" t="s">
        <v>34</v>
      </c>
      <c r="K4" s="5">
        <f t="shared" si="0"/>
        <v>5800</v>
      </c>
    </row>
    <row r="5" spans="1:11" ht="22.05" customHeight="1" x14ac:dyDescent="0.3">
      <c r="A5" s="3">
        <v>45661</v>
      </c>
      <c r="B5" s="2">
        <v>4</v>
      </c>
      <c r="C5" s="6" t="s">
        <v>46</v>
      </c>
      <c r="D5" s="6" t="s">
        <v>47</v>
      </c>
      <c r="E5" s="2" t="s">
        <v>14</v>
      </c>
      <c r="F5" s="2" t="s">
        <v>15</v>
      </c>
      <c r="G5" s="2">
        <v>1500</v>
      </c>
      <c r="H5" s="2" t="s">
        <v>10</v>
      </c>
      <c r="J5" s="2" t="s">
        <v>35</v>
      </c>
      <c r="K5" s="5">
        <f t="shared" si="0"/>
        <v>9300</v>
      </c>
    </row>
    <row r="6" spans="1:11" ht="22.05" customHeight="1" x14ac:dyDescent="0.3">
      <c r="A6" s="3">
        <v>45662</v>
      </c>
      <c r="B6" s="2">
        <v>5</v>
      </c>
      <c r="C6" s="6" t="s">
        <v>46</v>
      </c>
      <c r="D6" s="6" t="s">
        <v>47</v>
      </c>
      <c r="E6" s="2" t="s">
        <v>5</v>
      </c>
      <c r="F6" s="2" t="s">
        <v>16</v>
      </c>
      <c r="G6" s="2">
        <v>400</v>
      </c>
      <c r="H6" s="2" t="s">
        <v>7</v>
      </c>
      <c r="J6" s="2" t="s">
        <v>36</v>
      </c>
      <c r="K6" s="5">
        <f t="shared" si="0"/>
        <v>1898</v>
      </c>
    </row>
    <row r="7" spans="1:11" ht="22.05" customHeight="1" x14ac:dyDescent="0.3">
      <c r="A7" s="3">
        <v>45663</v>
      </c>
      <c r="B7" s="2">
        <v>6</v>
      </c>
      <c r="C7" s="6" t="s">
        <v>46</v>
      </c>
      <c r="D7" s="6" t="s">
        <v>47</v>
      </c>
      <c r="E7" s="2" t="s">
        <v>8</v>
      </c>
      <c r="F7" s="2" t="s">
        <v>17</v>
      </c>
      <c r="G7" s="2">
        <v>2200</v>
      </c>
      <c r="H7" s="2" t="s">
        <v>13</v>
      </c>
    </row>
    <row r="8" spans="1:11" ht="22.05" customHeight="1" x14ac:dyDescent="0.3">
      <c r="A8" s="3">
        <v>45664</v>
      </c>
      <c r="B8" s="2">
        <v>7</v>
      </c>
      <c r="C8" s="6" t="s">
        <v>46</v>
      </c>
      <c r="D8" s="6" t="s">
        <v>47</v>
      </c>
      <c r="E8" s="2" t="s">
        <v>11</v>
      </c>
      <c r="F8" s="2" t="s">
        <v>18</v>
      </c>
      <c r="G8" s="2">
        <v>2800</v>
      </c>
      <c r="H8" s="2" t="s">
        <v>10</v>
      </c>
    </row>
    <row r="9" spans="1:11" ht="22.05" customHeight="1" x14ac:dyDescent="0.3">
      <c r="A9" s="3">
        <v>45665</v>
      </c>
      <c r="B9" s="2">
        <v>8</v>
      </c>
      <c r="C9" s="6" t="s">
        <v>46</v>
      </c>
      <c r="D9" s="6" t="s">
        <v>47</v>
      </c>
      <c r="E9" s="2" t="s">
        <v>5</v>
      </c>
      <c r="F9" s="2" t="s">
        <v>19</v>
      </c>
      <c r="G9" s="2">
        <v>150</v>
      </c>
      <c r="H9" s="2" t="s">
        <v>7</v>
      </c>
    </row>
    <row r="10" spans="1:11" ht="22.05" customHeight="1" x14ac:dyDescent="0.3">
      <c r="A10" s="3">
        <v>45666</v>
      </c>
      <c r="B10" s="2">
        <v>9</v>
      </c>
      <c r="C10" s="6" t="s">
        <v>46</v>
      </c>
      <c r="D10" s="6" t="s">
        <v>47</v>
      </c>
      <c r="E10" s="2" t="s">
        <v>20</v>
      </c>
      <c r="F10" s="2" t="s">
        <v>21</v>
      </c>
      <c r="G10" s="2">
        <v>299</v>
      </c>
      <c r="H10" s="2" t="s">
        <v>10</v>
      </c>
    </row>
    <row r="11" spans="1:11" ht="22.05" customHeight="1" x14ac:dyDescent="0.3">
      <c r="A11" s="3">
        <v>45667</v>
      </c>
      <c r="B11" s="2">
        <v>10</v>
      </c>
      <c r="C11" s="6" t="s">
        <v>46</v>
      </c>
      <c r="D11" s="6" t="s">
        <v>47</v>
      </c>
      <c r="E11" s="2" t="s">
        <v>8</v>
      </c>
      <c r="F11" s="2" t="s">
        <v>22</v>
      </c>
      <c r="G11" s="2">
        <v>1800</v>
      </c>
      <c r="H11" s="2" t="s">
        <v>13</v>
      </c>
    </row>
    <row r="12" spans="1:11" ht="22.05" customHeight="1" x14ac:dyDescent="0.3">
      <c r="A12" s="3">
        <v>45668</v>
      </c>
      <c r="B12" s="2">
        <v>11</v>
      </c>
      <c r="C12" s="6" t="s">
        <v>46</v>
      </c>
      <c r="D12" s="6" t="s">
        <v>47</v>
      </c>
      <c r="E12" s="2" t="s">
        <v>14</v>
      </c>
      <c r="F12" s="2" t="s">
        <v>23</v>
      </c>
      <c r="G12" s="2">
        <v>3500</v>
      </c>
      <c r="H12" s="2" t="s">
        <v>10</v>
      </c>
    </row>
    <row r="13" spans="1:11" ht="22.05" customHeight="1" x14ac:dyDescent="0.3">
      <c r="A13" s="3">
        <v>45669</v>
      </c>
      <c r="B13" s="2">
        <v>12</v>
      </c>
      <c r="C13" s="6" t="s">
        <v>46</v>
      </c>
      <c r="D13" s="6" t="s">
        <v>47</v>
      </c>
      <c r="E13" s="2" t="s">
        <v>11</v>
      </c>
      <c r="F13" s="2" t="s">
        <v>24</v>
      </c>
      <c r="G13" s="2">
        <v>2100</v>
      </c>
      <c r="H13" s="2" t="s">
        <v>13</v>
      </c>
    </row>
    <row r="14" spans="1:11" ht="22.05" customHeight="1" x14ac:dyDescent="0.3">
      <c r="A14" s="3">
        <v>45670</v>
      </c>
      <c r="B14" s="2">
        <v>13</v>
      </c>
      <c r="C14" s="6" t="s">
        <v>46</v>
      </c>
      <c r="D14" s="6" t="s">
        <v>47</v>
      </c>
      <c r="E14" s="2" t="s">
        <v>5</v>
      </c>
      <c r="F14" s="2" t="s">
        <v>25</v>
      </c>
      <c r="G14" s="2">
        <v>180</v>
      </c>
      <c r="H14" s="2" t="s">
        <v>7</v>
      </c>
    </row>
    <row r="15" spans="1:11" ht="22.05" customHeight="1" x14ac:dyDescent="0.3">
      <c r="A15" s="3">
        <v>45671</v>
      </c>
      <c r="B15" s="2">
        <v>14</v>
      </c>
      <c r="C15" s="6" t="s">
        <v>46</v>
      </c>
      <c r="D15" s="6" t="s">
        <v>47</v>
      </c>
      <c r="E15" s="2" t="s">
        <v>20</v>
      </c>
      <c r="F15" s="2" t="s">
        <v>26</v>
      </c>
      <c r="G15" s="2">
        <v>999</v>
      </c>
      <c r="H15" s="2" t="s">
        <v>10</v>
      </c>
    </row>
    <row r="16" spans="1:11" ht="22.05" customHeight="1" x14ac:dyDescent="0.3">
      <c r="A16" s="3">
        <v>45672</v>
      </c>
      <c r="B16" s="2">
        <v>15</v>
      </c>
      <c r="C16" s="6" t="s">
        <v>46</v>
      </c>
      <c r="D16" s="6" t="s">
        <v>47</v>
      </c>
      <c r="E16" s="2" t="s">
        <v>8</v>
      </c>
      <c r="F16" s="2" t="s">
        <v>27</v>
      </c>
      <c r="G16" s="2">
        <v>2500</v>
      </c>
      <c r="H16" s="2" t="s">
        <v>7</v>
      </c>
    </row>
    <row r="17" spans="1:8" ht="22.05" customHeight="1" x14ac:dyDescent="0.3">
      <c r="A17" s="3">
        <v>45673</v>
      </c>
      <c r="B17" s="2">
        <v>16</v>
      </c>
      <c r="C17" s="6" t="s">
        <v>46</v>
      </c>
      <c r="D17" s="6" t="s">
        <v>47</v>
      </c>
      <c r="E17" s="2" t="s">
        <v>5</v>
      </c>
      <c r="F17" s="2" t="s">
        <v>6</v>
      </c>
      <c r="G17" s="2">
        <v>300</v>
      </c>
      <c r="H17" s="2" t="s">
        <v>10</v>
      </c>
    </row>
    <row r="18" spans="1:8" ht="22.05" customHeight="1" x14ac:dyDescent="0.3">
      <c r="A18" s="3">
        <v>45674</v>
      </c>
      <c r="B18" s="2">
        <v>17</v>
      </c>
      <c r="C18" s="6" t="s">
        <v>46</v>
      </c>
      <c r="D18" s="6" t="s">
        <v>47</v>
      </c>
      <c r="E18" s="2" t="s">
        <v>11</v>
      </c>
      <c r="F18" s="2" t="s">
        <v>28</v>
      </c>
      <c r="G18" s="2">
        <v>1200</v>
      </c>
      <c r="H18" s="2" t="s">
        <v>13</v>
      </c>
    </row>
    <row r="19" spans="1:8" ht="22.05" customHeight="1" x14ac:dyDescent="0.3">
      <c r="A19" s="3">
        <v>45675</v>
      </c>
      <c r="B19" s="2">
        <v>18</v>
      </c>
      <c r="C19" s="6" t="s">
        <v>46</v>
      </c>
      <c r="D19" s="6" t="s">
        <v>47</v>
      </c>
      <c r="E19" s="2" t="s">
        <v>14</v>
      </c>
      <c r="F19" s="2" t="s">
        <v>29</v>
      </c>
      <c r="G19" s="2">
        <v>800</v>
      </c>
      <c r="H19" s="2" t="s">
        <v>7</v>
      </c>
    </row>
    <row r="20" spans="1:8" ht="22.05" customHeight="1" x14ac:dyDescent="0.3">
      <c r="A20" s="3">
        <v>45676</v>
      </c>
      <c r="B20" s="2">
        <v>19</v>
      </c>
      <c r="C20" s="6" t="s">
        <v>46</v>
      </c>
      <c r="D20" s="6" t="s">
        <v>47</v>
      </c>
      <c r="E20" s="2" t="s">
        <v>20</v>
      </c>
      <c r="F20" s="2" t="s">
        <v>30</v>
      </c>
      <c r="G20" s="2">
        <v>600</v>
      </c>
      <c r="H20" s="2" t="s">
        <v>7</v>
      </c>
    </row>
    <row r="21" spans="1:8" ht="22.05" customHeight="1" x14ac:dyDescent="0.3">
      <c r="A21" s="3">
        <v>45677</v>
      </c>
      <c r="B21" s="2">
        <v>20</v>
      </c>
      <c r="C21" s="6" t="s">
        <v>46</v>
      </c>
      <c r="D21" s="6" t="s">
        <v>47</v>
      </c>
      <c r="E21" s="2" t="s">
        <v>8</v>
      </c>
      <c r="F21" s="2" t="s">
        <v>31</v>
      </c>
      <c r="G21" s="2">
        <v>2300</v>
      </c>
      <c r="H21" s="2" t="s">
        <v>10</v>
      </c>
    </row>
  </sheetData>
  <phoneticPr fontId="3" type="noConversion"/>
  <dataValidations count="1">
    <dataValidation type="list" allowBlank="1" showInputMessage="1" showErrorMessage="1" sqref="E2:E21" xr:uid="{15AED74C-7CE9-4DD2-B7B6-3DF832D4160A}">
      <formula1>"Food, Travel, Fees, Shopping, Other"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C8DC-E10B-4AC5-9FFA-7EBFC99B1327}">
  <dimension ref="A1:D6"/>
  <sheetViews>
    <sheetView workbookViewId="0">
      <selection activeCell="O8" sqref="O8"/>
    </sheetView>
  </sheetViews>
  <sheetFormatPr defaultRowHeight="14.4" x14ac:dyDescent="0.3"/>
  <sheetData>
    <row r="1" spans="1:4" ht="28.8" x14ac:dyDescent="0.3">
      <c r="A1" s="7" t="s">
        <v>1</v>
      </c>
      <c r="B1" s="7" t="s">
        <v>37</v>
      </c>
      <c r="C1" s="7" t="s">
        <v>38</v>
      </c>
      <c r="D1" s="7" t="s">
        <v>39</v>
      </c>
    </row>
    <row r="2" spans="1:4" x14ac:dyDescent="0.3">
      <c r="A2" s="8" t="s">
        <v>40</v>
      </c>
      <c r="B2" s="8">
        <v>5000</v>
      </c>
      <c r="C2" s="8">
        <v>4800</v>
      </c>
      <c r="D2" s="8">
        <f>B2-C2</f>
        <v>200</v>
      </c>
    </row>
    <row r="3" spans="1:4" x14ac:dyDescent="0.3">
      <c r="A3" s="8" t="s">
        <v>5</v>
      </c>
      <c r="B3" s="8">
        <v>4000</v>
      </c>
      <c r="C3" s="8">
        <v>3200</v>
      </c>
      <c r="D3" s="8">
        <f>B3-C3</f>
        <v>800</v>
      </c>
    </row>
    <row r="4" spans="1:4" x14ac:dyDescent="0.3">
      <c r="A4" s="8" t="s">
        <v>41</v>
      </c>
      <c r="B4" s="8">
        <v>2000</v>
      </c>
      <c r="C4" s="8">
        <v>1800</v>
      </c>
      <c r="D4" s="8">
        <f>B4-C4</f>
        <v>200</v>
      </c>
    </row>
    <row r="5" spans="1:4" x14ac:dyDescent="0.3">
      <c r="A5" s="8" t="s">
        <v>11</v>
      </c>
      <c r="B5" s="8">
        <v>3500</v>
      </c>
      <c r="C5" s="8">
        <v>2700</v>
      </c>
      <c r="D5" s="8">
        <f>B5-C5</f>
        <v>800</v>
      </c>
    </row>
    <row r="6" spans="1:4" x14ac:dyDescent="0.3">
      <c r="A6" s="8" t="s">
        <v>42</v>
      </c>
      <c r="B6" s="8">
        <v>1500</v>
      </c>
      <c r="C6" s="8">
        <v>1200</v>
      </c>
      <c r="D6" s="8">
        <f>B6-C6</f>
        <v>300</v>
      </c>
    </row>
  </sheetData>
  <conditionalFormatting sqref="C1:C6">
    <cfRule type="cellIs" dxfId="0" priority="1" operator="greaterThan">
      <formula>2000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Budget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Firdaush Jahan</dc:creator>
  <cp:lastModifiedBy>Ankit kumar</cp:lastModifiedBy>
  <cp:lastPrinted>2026-01-05T16:35:22Z</cp:lastPrinted>
  <dcterms:created xsi:type="dcterms:W3CDTF">2025-12-31T04:19:25Z</dcterms:created>
  <dcterms:modified xsi:type="dcterms:W3CDTF">2026-01-30T19:56:30Z</dcterms:modified>
</cp:coreProperties>
</file>